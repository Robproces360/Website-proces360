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ijn Drive\Visser Robotics\Leanrobotics\"/>
    </mc:Choice>
  </mc:AlternateContent>
  <xr:revisionPtr revIDLastSave="0" documentId="8_{F8C8AD5A-38AE-42B9-80E5-99FC0E5525E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verzicht" sheetId="1" r:id="rId1"/>
    <sheet name="Invester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25" i="1" l="1"/>
  <c r="B26" i="1" s="1"/>
  <c r="C25" i="1"/>
  <c r="C26" i="1" s="1"/>
  <c r="C26" i="2"/>
  <c r="C20" i="1"/>
  <c r="C21" i="1" s="1"/>
  <c r="C22" i="1" s="1"/>
  <c r="B20" i="1"/>
  <c r="G4" i="1"/>
  <c r="C16" i="1" l="1"/>
  <c r="G3" i="1" s="1"/>
  <c r="C30" i="1"/>
  <c r="C31" i="1" s="1"/>
  <c r="C32" i="1" s="1"/>
  <c r="C36" i="1" s="1"/>
  <c r="C27" i="1"/>
  <c r="B30" i="1"/>
  <c r="B31" i="1" s="1"/>
  <c r="B32" i="1" s="1"/>
  <c r="B27" i="1"/>
  <c r="B21" i="1"/>
  <c r="B22" i="1" s="1"/>
  <c r="H3" i="1" s="1"/>
  <c r="H4" i="1" s="1"/>
  <c r="H5" i="1" s="1"/>
  <c r="I5" i="1" l="1"/>
  <c r="J5" i="1" s="1"/>
  <c r="H6" i="1"/>
  <c r="B36" i="1"/>
  <c r="C39" i="1" s="1"/>
  <c r="C40" i="1" s="1"/>
  <c r="I3" i="1"/>
  <c r="J3" i="1" s="1"/>
  <c r="I4" i="1"/>
  <c r="J4" i="1" s="1"/>
  <c r="H7" i="1" l="1"/>
  <c r="I7" i="1" s="1"/>
  <c r="J7" i="1" s="1"/>
  <c r="I6" i="1"/>
  <c r="J6" i="1" s="1"/>
  <c r="J9" i="1" s="1"/>
</calcChain>
</file>

<file path=xl/sharedStrings.xml><?xml version="1.0" encoding="utf-8"?>
<sst xmlns="http://schemas.openxmlformats.org/spreadsheetml/2006/main" count="59" uniqueCount="57">
  <si>
    <t>Year</t>
  </si>
  <si>
    <t>Robot System Cost</t>
  </si>
  <si>
    <t>Yearly Savings</t>
  </si>
  <si>
    <t>Yearly Cash Flow</t>
  </si>
  <si>
    <t>Cumulative</t>
  </si>
  <si>
    <t>Situatie</t>
  </si>
  <si>
    <t>Oude</t>
  </si>
  <si>
    <t>Nieuwe</t>
  </si>
  <si>
    <t>Initial Investment, Maintenance, ...)</t>
  </si>
  <si>
    <t>(Actual Scenario - Potential Scenario)</t>
  </si>
  <si>
    <t>(Yearly Savings - Robot System Cost)</t>
  </si>
  <si>
    <t>Aantal productie medewerkers per lijn</t>
  </si>
  <si>
    <t>Aantal Ploegen /dag</t>
  </si>
  <si>
    <t>Aantal uur/ploeg</t>
  </si>
  <si>
    <t>Productie per week (dagen)</t>
  </si>
  <si>
    <t>Kosten per medewerker / uur</t>
  </si>
  <si>
    <t>Cyclustijd / product (sec)</t>
  </si>
  <si>
    <t>aantal machines / lijnen</t>
  </si>
  <si>
    <t>Aantal keer omstellen/ploeg</t>
  </si>
  <si>
    <t>Omsteltijd (uur)</t>
  </si>
  <si>
    <t>Productietijd / ploeg (uur)</t>
  </si>
  <si>
    <t>Omzet / product</t>
  </si>
  <si>
    <t>Robot investering</t>
  </si>
  <si>
    <t>Onderhoud</t>
  </si>
  <si>
    <t>Kosten medewerkers</t>
  </si>
  <si>
    <t>Per dag (=1 ploeg)</t>
  </si>
  <si>
    <t>Per maand</t>
  </si>
  <si>
    <t>Per jaar</t>
  </si>
  <si>
    <t>Productie</t>
  </si>
  <si>
    <t>Cyclustijd / product (uur)</t>
  </si>
  <si>
    <t>Totaal aantal producten /dag</t>
  </si>
  <si>
    <t>Totaal aantal producten /jaar</t>
  </si>
  <si>
    <t>Output</t>
  </si>
  <si>
    <t xml:space="preserve">Per dag  </t>
  </si>
  <si>
    <t>Winst</t>
  </si>
  <si>
    <t>Output-kosten medewerkers</t>
  </si>
  <si>
    <t>Terugverdientijd</t>
  </si>
  <si>
    <t xml:space="preserve">Opportunity cost </t>
  </si>
  <si>
    <t>Winst nieuw- Winst huidig</t>
  </si>
  <si>
    <t>Terugverdientijd (jaar)</t>
  </si>
  <si>
    <t>Investering / oportunity costs</t>
  </si>
  <si>
    <t>Investerings overzicht</t>
  </si>
  <si>
    <t>Totaal</t>
  </si>
  <si>
    <t>Materiaal</t>
  </si>
  <si>
    <t>Robot</t>
  </si>
  <si>
    <t>Grijper (Tooling)</t>
  </si>
  <si>
    <t>Aanvoer producten en fixering</t>
  </si>
  <si>
    <t>Afvoer producten</t>
  </si>
  <si>
    <t>Hekwerk &amp; veiligheid</t>
  </si>
  <si>
    <t>Robot naar machine interface</t>
  </si>
  <si>
    <t>Diensten</t>
  </si>
  <si>
    <t>Haalbaarheid onderzoek &amp; advies</t>
  </si>
  <si>
    <t>Engineering</t>
  </si>
  <si>
    <t>Integration</t>
  </si>
  <si>
    <t>Training</t>
  </si>
  <si>
    <t>Logistiek</t>
  </si>
  <si>
    <t>CE certificering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</si>
</sst>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413]\ #,##0.00;[Red][$€-413]\ #,##0.00\-"/>
    <numFmt numFmtId="165" formatCode="[$€-413]\ #,##0;[Red][$€-413]\ #,##0\-"/>
    <numFmt numFmtId="166" formatCode="0.0"/>
  </numFmts>
  <fonts count="3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9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595959"/>
      <rgbColor rgb="FFA5A5A5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Overzicht!$F$1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nl-N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Overzicht!$F$3:$F$7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9-433E-9583-87F490730E8C}"/>
            </c:ext>
          </c:extLst>
        </c:ser>
        <c:ser>
          <c:idx val="1"/>
          <c:order val="1"/>
          <c:tx>
            <c:strRef>
              <c:f>Overzicht!$G$1</c:f>
              <c:strCache>
                <c:ptCount val="1"/>
                <c:pt idx="0">
                  <c:v>Robot System Cost</c:v>
                </c:pt>
              </c:strCache>
            </c:strRef>
          </c:tx>
          <c:invertIfNegative val="0"/>
          <c:val>
            <c:numRef>
              <c:f>Overzicht!$G$3:$G$7</c:f>
              <c:numCache>
                <c:formatCode>[$€-413]\ #,##0.00;[Red][$€-413]\ #,##0.00\-</c:formatCode>
                <c:ptCount val="5"/>
                <c:pt idx="0">
                  <c:v>-92000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D9-433E-9583-87F490730E8C}"/>
            </c:ext>
          </c:extLst>
        </c:ser>
        <c:ser>
          <c:idx val="2"/>
          <c:order val="2"/>
          <c:tx>
            <c:strRef>
              <c:f>Overzicht!$H$1</c:f>
              <c:strCache>
                <c:ptCount val="1"/>
                <c:pt idx="0">
                  <c:v>Yearly Savings</c:v>
                </c:pt>
              </c:strCache>
            </c:strRef>
          </c:tx>
          <c:invertIfNegative val="0"/>
          <c:val>
            <c:numRef>
              <c:f>Overzicht!$H$3:$H$7</c:f>
              <c:numCache>
                <c:formatCode>[$€-413]\ #,##0.00;[Red][$€-413]\ #,##0.00\-</c:formatCode>
                <c:ptCount val="5"/>
                <c:pt idx="0">
                  <c:v>72800</c:v>
                </c:pt>
                <c:pt idx="1">
                  <c:v>74984</c:v>
                </c:pt>
                <c:pt idx="2">
                  <c:v>76483.680000000008</c:v>
                </c:pt>
                <c:pt idx="3">
                  <c:v>78013.353600000002</c:v>
                </c:pt>
                <c:pt idx="4">
                  <c:v>79573.620672000005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D9-433E-9583-87F490730E8C}"/>
            </c:ext>
          </c:extLst>
        </c:ser>
        <c:ser>
          <c:idx val="3"/>
          <c:order val="3"/>
          <c:tx>
            <c:strRef>
              <c:f>Overzicht!$I$1</c:f>
              <c:strCache>
                <c:ptCount val="1"/>
                <c:pt idx="0">
                  <c:v>Yearly Cash Flow</c:v>
                </c:pt>
              </c:strCache>
            </c:strRef>
          </c:tx>
          <c:invertIfNegative val="0"/>
          <c:val>
            <c:numRef>
              <c:f>Overzicht!$I$3:$I$7</c:f>
              <c:numCache>
                <c:formatCode>[$€-413]\ #,##0.00;[Red][$€-413]\ #,##0.00\-</c:formatCode>
                <c:ptCount val="5"/>
                <c:pt idx="0">
                  <c:v>-19200</c:v>
                </c:pt>
                <c:pt idx="1">
                  <c:v>75984</c:v>
                </c:pt>
                <c:pt idx="2">
                  <c:v>77483.680000000008</c:v>
                </c:pt>
                <c:pt idx="3">
                  <c:v>79013.353600000002</c:v>
                </c:pt>
                <c:pt idx="4">
                  <c:v>80573.620672000005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D9-433E-9583-87F490730E8C}"/>
            </c:ext>
          </c:extLst>
        </c:ser>
        <c:ser>
          <c:idx val="4"/>
          <c:order val="4"/>
          <c:tx>
            <c:strRef>
              <c:f>Overzicht!$J$1</c:f>
              <c:strCache>
                <c:ptCount val="1"/>
                <c:pt idx="0">
                  <c:v>Cumulative</c:v>
                </c:pt>
              </c:strCache>
            </c:strRef>
          </c:tx>
          <c:invertIfNegative val="0"/>
          <c:val>
            <c:numRef>
              <c:f>Overzicht!$J$3:$J$7</c:f>
              <c:numCache>
                <c:formatCode>[$€-413]\ #,##0.00;[Red][$€-413]\ #,##0.00\-</c:formatCode>
                <c:ptCount val="5"/>
                <c:pt idx="0">
                  <c:v>-19200</c:v>
                </c:pt>
                <c:pt idx="1">
                  <c:v>75984</c:v>
                </c:pt>
                <c:pt idx="2">
                  <c:v>77483.680000000008</c:v>
                </c:pt>
                <c:pt idx="3">
                  <c:v>79013.353600000002</c:v>
                </c:pt>
                <c:pt idx="4">
                  <c:v>80573.620672000005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D9-433E-9583-87F49073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0489"/>
        <c:axId val="27515940"/>
      </c:barChart>
      <c:catAx>
        <c:axId val="158504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nl-NL"/>
          </a:p>
        </c:txPr>
        <c:crossAx val="27515940"/>
        <c:crosses val="autoZero"/>
        <c:auto val="1"/>
        <c:lblAlgn val="ctr"/>
        <c:lblOffset val="100"/>
        <c:noMultiLvlLbl val="0"/>
      </c:catAx>
      <c:valAx>
        <c:axId val="27515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  <a:endParaRPr lang="nl-NL"/>
          </a:p>
        </c:txPr>
        <c:crossAx val="1585048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  <a:endParaRPr lang="nl-NL"/>
        </a:p>
      </c:txPr>
    </c:legend>
    <c:plotVisOnly val="1"/>
    <c:dispBlanksAs val="gap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70200</xdr:colOff>
      <xdr:row>10</xdr:row>
      <xdr:rowOff>143640</xdr:rowOff>
    </xdr:from>
    <xdr:to>
      <xdr:col>10</xdr:col>
      <xdr:colOff>436680</xdr:colOff>
      <xdr:row>40</xdr:row>
      <xdr:rowOff>75960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56520</xdr:colOff>
      <xdr:row>3</xdr:row>
      <xdr:rowOff>0</xdr:rowOff>
    </xdr:from>
    <xdr:to>
      <xdr:col>13</xdr:col>
      <xdr:colOff>333720</xdr:colOff>
      <xdr:row>31</xdr:row>
      <xdr:rowOff>105120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7800" y="487800"/>
          <a:ext cx="5154120" cy="465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zoomScaleNormal="100" workbookViewId="0">
      <selection activeCell="D26" sqref="D26"/>
    </sheetView>
  </sheetViews>
  <sheetFormatPr defaultColWidth="11.5703125" defaultRowHeight="12.75" customHeight="1" x14ac:dyDescent="0.2"/>
  <cols>
    <col min="1" max="1" width="33.140625" customWidth="1"/>
    <col min="2" max="2" width="12.5703125" bestFit="1" customWidth="1"/>
    <col min="3" max="3" width="13.28515625" customWidth="1"/>
    <col min="4" max="4" width="29.7109375" customWidth="1"/>
    <col min="5" max="5" width="16.28515625" customWidth="1"/>
    <col min="6" max="6" width="16.85546875" customWidth="1"/>
    <col min="7" max="7" width="20.5703125" customWidth="1"/>
    <col min="8" max="8" width="21" customWidth="1"/>
    <col min="9" max="9" width="20.42578125" customWidth="1"/>
    <col min="10" max="10" width="19.140625" customWidth="1"/>
  </cols>
  <sheetData>
    <row r="1" spans="1:10" ht="15" x14ac:dyDescent="0.2"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ht="25.5" x14ac:dyDescent="0.2">
      <c r="A2" s="3" t="s">
        <v>5</v>
      </c>
      <c r="B2" s="3" t="s">
        <v>6</v>
      </c>
      <c r="C2" s="3" t="s">
        <v>7</v>
      </c>
      <c r="F2" s="4"/>
      <c r="G2" s="5" t="s">
        <v>8</v>
      </c>
      <c r="H2" s="5" t="s">
        <v>9</v>
      </c>
      <c r="I2" s="5" t="s">
        <v>10</v>
      </c>
      <c r="J2" s="4"/>
    </row>
    <row r="3" spans="1:10" x14ac:dyDescent="0.2">
      <c r="A3" t="s">
        <v>11</v>
      </c>
      <c r="B3" s="1">
        <v>2</v>
      </c>
      <c r="C3" s="1">
        <v>1</v>
      </c>
      <c r="F3" s="6">
        <v>1</v>
      </c>
      <c r="G3" s="7">
        <f>$C$16*-1</f>
        <v>-92000</v>
      </c>
      <c r="H3" s="7">
        <f>B22-C22</f>
        <v>72800</v>
      </c>
      <c r="I3" s="7">
        <f>G3+H3</f>
        <v>-19200</v>
      </c>
      <c r="J3" s="7">
        <f>I3</f>
        <v>-19200</v>
      </c>
    </row>
    <row r="4" spans="1:10" x14ac:dyDescent="0.2">
      <c r="A4" t="s">
        <v>12</v>
      </c>
      <c r="B4" s="1">
        <v>1</v>
      </c>
      <c r="C4" s="1">
        <v>1</v>
      </c>
      <c r="F4" s="6">
        <v>2</v>
      </c>
      <c r="G4" s="7">
        <f>C17</f>
        <v>1000</v>
      </c>
      <c r="H4" s="7">
        <f>H3*1.03</f>
        <v>74984</v>
      </c>
      <c r="I4" s="7">
        <f>G4+H4</f>
        <v>75984</v>
      </c>
      <c r="J4" s="7">
        <f>I4</f>
        <v>75984</v>
      </c>
    </row>
    <row r="5" spans="1:10" x14ac:dyDescent="0.2">
      <c r="A5" t="s">
        <v>13</v>
      </c>
      <c r="B5" s="1">
        <v>8</v>
      </c>
      <c r="C5" s="1">
        <v>8</v>
      </c>
      <c r="F5" s="6">
        <v>3</v>
      </c>
      <c r="G5" s="7">
        <v>1000</v>
      </c>
      <c r="H5" s="7">
        <f>H4*1.02</f>
        <v>76483.680000000008</v>
      </c>
      <c r="I5" s="7">
        <f>G5+H5</f>
        <v>77483.680000000008</v>
      </c>
      <c r="J5" s="7">
        <f>I5</f>
        <v>77483.680000000008</v>
      </c>
    </row>
    <row r="6" spans="1:10" x14ac:dyDescent="0.2">
      <c r="A6" t="s">
        <v>14</v>
      </c>
      <c r="B6" s="1">
        <v>5</v>
      </c>
      <c r="C6" s="1">
        <v>5</v>
      </c>
      <c r="F6" s="6">
        <v>4</v>
      </c>
      <c r="G6" s="7">
        <v>1000</v>
      </c>
      <c r="H6" s="7">
        <f>H5*1.02</f>
        <v>78013.353600000002</v>
      </c>
      <c r="I6" s="7">
        <f>G6+H6</f>
        <v>79013.353600000002</v>
      </c>
      <c r="J6" s="7">
        <f>I6</f>
        <v>79013.353600000002</v>
      </c>
    </row>
    <row r="7" spans="1:10" x14ac:dyDescent="0.2">
      <c r="A7" t="s">
        <v>15</v>
      </c>
      <c r="B7" s="1">
        <v>35</v>
      </c>
      <c r="C7" s="1">
        <v>35</v>
      </c>
      <c r="F7" s="6">
        <v>5</v>
      </c>
      <c r="G7" s="7">
        <v>1000</v>
      </c>
      <c r="H7" s="7">
        <f>H6*1.02</f>
        <v>79573.620672000005</v>
      </c>
      <c r="I7" s="7">
        <f>G7+H7</f>
        <v>80573.620672000005</v>
      </c>
      <c r="J7" s="7">
        <f>I7</f>
        <v>80573.620672000005</v>
      </c>
    </row>
    <row r="8" spans="1:10" x14ac:dyDescent="0.2">
      <c r="A8" t="s">
        <v>16</v>
      </c>
      <c r="B8" s="1">
        <v>60</v>
      </c>
      <c r="C8" s="1">
        <v>45</v>
      </c>
    </row>
    <row r="9" spans="1:10" x14ac:dyDescent="0.2">
      <c r="A9" t="s">
        <v>17</v>
      </c>
      <c r="B9" s="1">
        <v>1</v>
      </c>
      <c r="C9" s="1">
        <v>1</v>
      </c>
      <c r="J9" s="8">
        <f>SUM(J3:J8)</f>
        <v>293854.65427200001</v>
      </c>
    </row>
    <row r="10" spans="1:10" x14ac:dyDescent="0.2">
      <c r="A10" t="s">
        <v>18</v>
      </c>
      <c r="B10" s="1">
        <v>1</v>
      </c>
      <c r="C10" s="1">
        <v>1</v>
      </c>
    </row>
    <row r="11" spans="1:10" x14ac:dyDescent="0.2">
      <c r="A11" t="s">
        <v>19</v>
      </c>
      <c r="B11" s="1">
        <v>0.5</v>
      </c>
      <c r="C11" s="1">
        <v>0.5</v>
      </c>
    </row>
    <row r="12" spans="1:10" x14ac:dyDescent="0.2">
      <c r="A12" t="s">
        <v>20</v>
      </c>
      <c r="B12" s="1">
        <v>6</v>
      </c>
      <c r="C12" s="1">
        <v>6</v>
      </c>
    </row>
    <row r="13" spans="1:10" x14ac:dyDescent="0.2">
      <c r="A13" t="s">
        <v>21</v>
      </c>
      <c r="B13" s="1">
        <v>5</v>
      </c>
      <c r="C13" s="1">
        <v>5</v>
      </c>
    </row>
    <row r="14" spans="1:10" x14ac:dyDescent="0.2">
      <c r="B14" s="1"/>
    </row>
    <row r="15" spans="1:10" x14ac:dyDescent="0.2">
      <c r="B15" s="1"/>
    </row>
    <row r="16" spans="1:10" x14ac:dyDescent="0.2">
      <c r="A16" s="3" t="s">
        <v>22</v>
      </c>
      <c r="B16" s="1"/>
      <c r="C16">
        <f>Investering!C26</f>
        <v>92000</v>
      </c>
    </row>
    <row r="17" spans="1:3" x14ac:dyDescent="0.2">
      <c r="A17" s="3" t="s">
        <v>23</v>
      </c>
      <c r="B17" s="1"/>
      <c r="C17">
        <v>1000</v>
      </c>
    </row>
    <row r="18" spans="1:3" x14ac:dyDescent="0.2">
      <c r="B18" s="1"/>
    </row>
    <row r="19" spans="1:3" x14ac:dyDescent="0.2">
      <c r="A19" s="3" t="s">
        <v>24</v>
      </c>
      <c r="B19" s="1"/>
    </row>
    <row r="20" spans="1:3" x14ac:dyDescent="0.2">
      <c r="A20" t="s">
        <v>25</v>
      </c>
      <c r="B20" s="9">
        <f>B3*B4*B5*B7</f>
        <v>560</v>
      </c>
      <c r="C20" s="9">
        <f>C3*C4*C5*C7</f>
        <v>280</v>
      </c>
    </row>
    <row r="21" spans="1:3" x14ac:dyDescent="0.2">
      <c r="A21" t="s">
        <v>26</v>
      </c>
      <c r="B21" s="9">
        <f>(B20*5*13)/3</f>
        <v>12133.333333333334</v>
      </c>
      <c r="C21" s="9">
        <f>(C20*C6*13)/3</f>
        <v>6066.666666666667</v>
      </c>
    </row>
    <row r="22" spans="1:3" x14ac:dyDescent="0.2">
      <c r="A22" t="s">
        <v>27</v>
      </c>
      <c r="B22" s="9">
        <f>B21*12</f>
        <v>145600</v>
      </c>
      <c r="C22" s="9">
        <f>C21*12</f>
        <v>72800</v>
      </c>
    </row>
    <row r="24" spans="1:3" x14ac:dyDescent="0.2">
      <c r="A24" s="3" t="s">
        <v>28</v>
      </c>
    </row>
    <row r="25" spans="1:3" x14ac:dyDescent="0.2">
      <c r="A25" t="s">
        <v>29</v>
      </c>
      <c r="B25" s="14">
        <f>B8/3600</f>
        <v>1.6666666666666666E-2</v>
      </c>
      <c r="C25" s="1">
        <f>C8/3600</f>
        <v>1.2500000000000001E-2</v>
      </c>
    </row>
    <row r="26" spans="1:3" x14ac:dyDescent="0.2">
      <c r="A26" t="s">
        <v>30</v>
      </c>
      <c r="B26" s="1">
        <f>(B12/B25)*B4</f>
        <v>360</v>
      </c>
      <c r="C26" s="1">
        <f>(C12/C25)*C4</f>
        <v>480</v>
      </c>
    </row>
    <row r="27" spans="1:3" x14ac:dyDescent="0.2">
      <c r="A27" t="s">
        <v>31</v>
      </c>
      <c r="B27" s="1">
        <f>B26*50</f>
        <v>18000</v>
      </c>
      <c r="C27" s="1">
        <f>C26*50</f>
        <v>24000</v>
      </c>
    </row>
    <row r="28" spans="1:3" x14ac:dyDescent="0.2">
      <c r="B28" s="1"/>
      <c r="C28" s="1"/>
    </row>
    <row r="29" spans="1:3" x14ac:dyDescent="0.2">
      <c r="A29" s="3" t="s">
        <v>32</v>
      </c>
      <c r="B29" s="1"/>
      <c r="C29" s="1"/>
    </row>
    <row r="30" spans="1:3" x14ac:dyDescent="0.2">
      <c r="A30" t="s">
        <v>33</v>
      </c>
      <c r="B30" s="9">
        <f>B26*B13</f>
        <v>1800</v>
      </c>
      <c r="C30" s="9">
        <f>C26*C13</f>
        <v>2400</v>
      </c>
    </row>
    <row r="31" spans="1:3" x14ac:dyDescent="0.2">
      <c r="A31" t="s">
        <v>26</v>
      </c>
      <c r="B31" s="9">
        <f>((B30*5)*13)/3</f>
        <v>39000</v>
      </c>
      <c r="C31" s="9">
        <f>(C30*5*13)/3</f>
        <v>52000</v>
      </c>
    </row>
    <row r="32" spans="1:3" x14ac:dyDescent="0.2">
      <c r="A32" t="s">
        <v>27</v>
      </c>
      <c r="B32" s="9">
        <f>B31*12</f>
        <v>468000</v>
      </c>
      <c r="C32" s="9">
        <f>C31*12</f>
        <v>624000</v>
      </c>
    </row>
    <row r="33" spans="1:4" x14ac:dyDescent="0.2">
      <c r="B33" s="1"/>
      <c r="C33" s="1"/>
    </row>
    <row r="34" spans="1:4" x14ac:dyDescent="0.2">
      <c r="B34" s="1"/>
      <c r="C34" s="1"/>
    </row>
    <row r="35" spans="1:4" x14ac:dyDescent="0.2">
      <c r="A35" s="3" t="s">
        <v>34</v>
      </c>
      <c r="B35" s="1"/>
      <c r="C35" s="1"/>
    </row>
    <row r="36" spans="1:4" x14ac:dyDescent="0.2">
      <c r="A36" t="s">
        <v>35</v>
      </c>
      <c r="B36" s="10">
        <f>B32-B22</f>
        <v>322400</v>
      </c>
      <c r="C36" s="10">
        <f>C32-C22</f>
        <v>551200</v>
      </c>
    </row>
    <row r="37" spans="1:4" x14ac:dyDescent="0.2">
      <c r="B37" s="1"/>
      <c r="C37" s="1"/>
    </row>
    <row r="38" spans="1:4" x14ac:dyDescent="0.2">
      <c r="A38" s="3" t="s">
        <v>36</v>
      </c>
      <c r="B38" s="1"/>
      <c r="C38" s="1"/>
    </row>
    <row r="39" spans="1:4" x14ac:dyDescent="0.2">
      <c r="A39" t="s">
        <v>37</v>
      </c>
      <c r="B39" s="1"/>
      <c r="C39" s="10">
        <f>C36-B36</f>
        <v>228800</v>
      </c>
      <c r="D39" t="s">
        <v>38</v>
      </c>
    </row>
    <row r="40" spans="1:4" x14ac:dyDescent="0.2">
      <c r="A40" t="s">
        <v>39</v>
      </c>
      <c r="B40" s="1"/>
      <c r="C40" s="11">
        <f>C16/C39</f>
        <v>0.40209790209790208</v>
      </c>
      <c r="D40" t="s">
        <v>40</v>
      </c>
    </row>
    <row r="41" spans="1:4" x14ac:dyDescent="0.2">
      <c r="B41" s="1"/>
      <c r="C41" s="1"/>
    </row>
    <row r="42" spans="1:4" x14ac:dyDescent="0.2">
      <c r="B42" s="1"/>
      <c r="C42" s="1"/>
    </row>
    <row r="43" spans="1:4" x14ac:dyDescent="0.2">
      <c r="B43" s="1"/>
      <c r="C43" s="1"/>
    </row>
    <row r="44" spans="1:4" x14ac:dyDescent="0.2">
      <c r="B44" s="1"/>
      <c r="C44" s="1"/>
    </row>
    <row r="45" spans="1:4" x14ac:dyDescent="0.2">
      <c r="C45" s="12"/>
    </row>
    <row r="46" spans="1:4" x14ac:dyDescent="0.2">
      <c r="C46" s="1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>
      <selection activeCell="E23" sqref="E23"/>
    </sheetView>
  </sheetViews>
  <sheetFormatPr defaultColWidth="11.5703125" defaultRowHeight="12.75" customHeight="1" x14ac:dyDescent="0.2"/>
  <cols>
    <col min="1" max="1" width="29" customWidth="1"/>
    <col min="2" max="2" width="30.5703125" customWidth="1"/>
    <col min="3" max="3" width="15.28515625" customWidth="1"/>
  </cols>
  <sheetData>
    <row r="1" spans="1:3" x14ac:dyDescent="0.2">
      <c r="A1" t="s">
        <v>41</v>
      </c>
      <c r="C1" t="s">
        <v>42</v>
      </c>
    </row>
    <row r="2" spans="1:3" x14ac:dyDescent="0.2">
      <c r="A2" t="s">
        <v>43</v>
      </c>
      <c r="B2" t="s">
        <v>44</v>
      </c>
      <c r="C2">
        <v>80000</v>
      </c>
    </row>
    <row r="3" spans="1:3" x14ac:dyDescent="0.2">
      <c r="B3" t="s">
        <v>45</v>
      </c>
      <c r="C3">
        <v>2000</v>
      </c>
    </row>
    <row r="4" spans="1:3" x14ac:dyDescent="0.2">
      <c r="B4" t="s">
        <v>46</v>
      </c>
      <c r="C4">
        <v>3000</v>
      </c>
    </row>
    <row r="5" spans="1:3" x14ac:dyDescent="0.2">
      <c r="B5" t="s">
        <v>47</v>
      </c>
    </row>
    <row r="6" spans="1:3" x14ac:dyDescent="0.2">
      <c r="B6" t="s">
        <v>48</v>
      </c>
    </row>
    <row r="7" spans="1:3" x14ac:dyDescent="0.2">
      <c r="B7" t="s">
        <v>49</v>
      </c>
    </row>
    <row r="12" spans="1:3" x14ac:dyDescent="0.2">
      <c r="A12" t="s">
        <v>50</v>
      </c>
      <c r="B12" t="s">
        <v>51</v>
      </c>
      <c r="C12">
        <v>7000</v>
      </c>
    </row>
    <row r="13" spans="1:3" x14ac:dyDescent="0.2">
      <c r="B13" t="s">
        <v>52</v>
      </c>
    </row>
    <row r="14" spans="1:3" x14ac:dyDescent="0.2">
      <c r="B14" t="s">
        <v>53</v>
      </c>
    </row>
    <row r="15" spans="1:3" x14ac:dyDescent="0.2">
      <c r="B15" t="s">
        <v>54</v>
      </c>
    </row>
    <row r="16" spans="1:3" x14ac:dyDescent="0.2">
      <c r="B16" t="s">
        <v>55</v>
      </c>
    </row>
    <row r="17" spans="2:3" x14ac:dyDescent="0.2">
      <c r="B17" t="s">
        <v>56</v>
      </c>
    </row>
    <row r="26" spans="2:3" x14ac:dyDescent="0.2">
      <c r="C26">
        <f>SUM(C2:C24)</f>
        <v>92000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Overzicht</vt:lpstr>
      <vt:lpstr>Investering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Martin Visser | Robot ART</cp:lastModifiedBy>
  <cp:revision>4</cp:revision>
  <dcterms:created xsi:type="dcterms:W3CDTF">2024-08-27T12:07:51Z</dcterms:created>
  <dcterms:modified xsi:type="dcterms:W3CDTF">2025-11-03T16:06:12Z</dcterms:modified>
  <dc:language>nl-NL</dc:language>
</cp:coreProperties>
</file>